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LAN-Stamp Mappin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<sst xmlns="http://schemas.openxmlformats.org/spreadsheetml/2006/main" count="245" uniqueCount="111">
  <si>
    <t xml:space="preserve">BU</t>
  </si>
  <si>
    <t xml:space="preserve">STATE</t>
  </si>
  <si>
    <t xml:space="preserve">LOAN NO</t>
  </si>
  <si>
    <t xml:space="preserve">Customer name</t>
  </si>
  <si>
    <t xml:space="preserve">BRANCH UNIT</t>
  </si>
  <si>
    <t xml:space="preserve">Product type</t>
  </si>
  <si>
    <t xml:space="preserve">Manufacturer</t>
  </si>
  <si>
    <t xml:space="preserve">Segment</t>
  </si>
  <si>
    <t xml:space="preserve">SanctionDate</t>
  </si>
  <si>
    <t xml:space="preserve">FirstDueDate</t>
  </si>
  <si>
    <t xml:space="preserve">EstAsstCost</t>
  </si>
  <si>
    <t xml:space="preserve">MarginMoney</t>
  </si>
  <si>
    <t xml:space="preserve">Prploanamt</t>
  </si>
  <si>
    <t xml:space="preserve">LoanTenure</t>
  </si>
  <si>
    <t xml:space="preserve">IRRRate</t>
  </si>
  <si>
    <t xml:space="preserve">FinCharges</t>
  </si>
  <si>
    <t xml:space="preserve">EmiAmount</t>
  </si>
  <si>
    <t xml:space="preserve">DlrShrtDescr</t>
  </si>
  <si>
    <t xml:space="preserve">DlrDescr</t>
  </si>
  <si>
    <t xml:space="preserve">MarketingAgentName</t>
  </si>
  <si>
    <t xml:space="preserve">CreditShieldAppl</t>
  </si>
  <si>
    <t xml:space="preserve">CreditShield Premium</t>
  </si>
  <si>
    <t xml:space="preserve">PF</t>
  </si>
  <si>
    <t xml:space="preserve">Disb. Amount</t>
  </si>
  <si>
    <t xml:space="preserve">KOLKATA RF</t>
  </si>
  <si>
    <t xml:space="preserve">MANIPUR</t>
  </si>
  <si>
    <t xml:space="preserve">MNIMPTW2610260001</t>
  </si>
  <si>
    <t xml:space="preserve">Bikash Singh</t>
  </si>
  <si>
    <t xml:space="preserve">MNIMP</t>
  </si>
  <si>
    <t xml:space="preserve">Twnj</t>
  </si>
  <si>
    <t xml:space="preserve">HONDAMOTOR</t>
  </si>
  <si>
    <t xml:space="preserve">MOBIKE</t>
  </si>
  <si>
    <t xml:space="preserve">MND79341</t>
  </si>
  <si>
    <t xml:space="preserve">IMPHAL HONDA MOTORS</t>
  </si>
  <si>
    <t xml:space="preserve">ARUNNAIR</t>
  </si>
  <si>
    <t xml:space="preserve">N</t>
  </si>
  <si>
    <t xml:space="preserve">MNIMPTW2610260002</t>
  </si>
  <si>
    <t xml:space="preserve">Rina Devi</t>
  </si>
  <si>
    <t xml:space="preserve">TVSMOTORCO</t>
  </si>
  <si>
    <t xml:space="preserve">MND59015</t>
  </si>
  <si>
    <t xml:space="preserve">IMPHAL TVS MOTORS</t>
  </si>
  <si>
    <t xml:space="preserve">ANILKUMAR</t>
  </si>
  <si>
    <t xml:space="preserve">Y</t>
  </si>
  <si>
    <t xml:space="preserve">MNIMPTW2610260003</t>
  </si>
  <si>
    <t xml:space="preserve">Dipankar Meitei</t>
  </si>
  <si>
    <t xml:space="preserve">SANTOSHSINGH</t>
  </si>
  <si>
    <t xml:space="preserve">MNIMPTW2610260004</t>
  </si>
  <si>
    <t xml:space="preserve">Mousumi Sharma</t>
  </si>
  <si>
    <t xml:space="preserve">SUZUKIMOTO</t>
  </si>
  <si>
    <t xml:space="preserve">MND66524</t>
  </si>
  <si>
    <t xml:space="preserve">IMPHAL SUZUKI MOTORS</t>
  </si>
  <si>
    <t xml:space="preserve">SURESHBABU</t>
  </si>
  <si>
    <t xml:space="preserve">MNIMPTW2610270005</t>
  </si>
  <si>
    <t xml:space="preserve">Lalremruata Khuman</t>
  </si>
  <si>
    <t xml:space="preserve">DEEPAKDAS</t>
  </si>
  <si>
    <t xml:space="preserve">MNIMPTW2610270006</t>
  </si>
  <si>
    <t xml:space="preserve">Banshan Singh</t>
  </si>
  <si>
    <t xml:space="preserve">BAJAJAUTOL</t>
  </si>
  <si>
    <t xml:space="preserve">MND14139</t>
  </si>
  <si>
    <t xml:space="preserve">IMPHAL BAJAJ MOTORS</t>
  </si>
  <si>
    <t xml:space="preserve">RAKESHKUMAR</t>
  </si>
  <si>
    <t xml:space="preserve">MNIMPTW2610270007</t>
  </si>
  <si>
    <t xml:space="preserve">Tomba Devi</t>
  </si>
  <si>
    <t xml:space="preserve">HEROMOTORC</t>
  </si>
  <si>
    <t xml:space="preserve">MND26664</t>
  </si>
  <si>
    <t xml:space="preserve">IMPHAL HERO MOTORS</t>
  </si>
  <si>
    <t xml:space="preserve">VIJAYPRASAD</t>
  </si>
  <si>
    <t xml:space="preserve">MNIMPTW2610270008</t>
  </si>
  <si>
    <t xml:space="preserve">Sangita Meitei</t>
  </si>
  <si>
    <t xml:space="preserve">MANOJVERMA</t>
  </si>
  <si>
    <t xml:space="preserve">MNIMPTW2610280009</t>
  </si>
  <si>
    <t xml:space="preserve">Pemba Sharma</t>
  </si>
  <si>
    <t xml:space="preserve">MNIMPTW2610280010</t>
  </si>
  <si>
    <t xml:space="preserve">Karma Khuman</t>
  </si>
  <si>
    <t xml:space="preserve">Stamp type</t>
  </si>
  <si>
    <t xml:space="preserve">Certificate / Serial No.</t>
  </si>
  <si>
    <t xml:space="preserve">Certificate Issued Date</t>
  </si>
  <si>
    <t xml:space="preserve">Unique Doc. Reference</t>
  </si>
  <si>
    <t xml:space="preserve">Stamp Duty</t>
  </si>
  <si>
    <t xml:space="preserve">Article No.</t>
  </si>
  <si>
    <t xml:space="preserve">Sample PDF</t>
  </si>
  <si>
    <t xml:space="preserve">Page</t>
  </si>
  <si>
    <t xml:space="preserve">KOLKATA</t>
  </si>
  <si>
    <t xml:space="preserve">Digital</t>
  </si>
  <si>
    <t xml:space="preserve">IN-MN14847277</t>
  </si>
  <si>
    <t xml:space="preserve">23-Sep-2026 06:00 PM</t>
  </si>
  <si>
    <t xml:space="preserve">SUBIN-MNMN-SELF68436568245552Y</t>
  </si>
  <si>
    <t xml:space="preserve">Article 5</t>
  </si>
  <si>
    <t xml:space="preserve">Shriram_Finance_Manipur_Digital_eStamp_x10.pdf</t>
  </si>
  <si>
    <t xml:space="preserve">IN-MN44977779</t>
  </si>
  <si>
    <t xml:space="preserve">SUBIN-MNMN-SELF45088550177495Y</t>
  </si>
  <si>
    <t xml:space="preserve">IN-MN67665345</t>
  </si>
  <si>
    <t xml:space="preserve">23-Sep-2026 06:01 PM</t>
  </si>
  <si>
    <t xml:space="preserve">SUBIN-MNMN-SELF67601812291230Y</t>
  </si>
  <si>
    <t xml:space="preserve">IN-MN98483467</t>
  </si>
  <si>
    <t xml:space="preserve">SUBIN-MNMN-SELF71109315534447Y</t>
  </si>
  <si>
    <t xml:space="preserve">IN-MN37553439</t>
  </si>
  <si>
    <t xml:space="preserve">23-Sep-2026 06:02 PM</t>
  </si>
  <si>
    <t xml:space="preserve">SUBIN-MNMN-SELF98227809023557Y</t>
  </si>
  <si>
    <t xml:space="preserve">IN-MN23159238</t>
  </si>
  <si>
    <t xml:space="preserve">SUBIN-MNMN-SELF43542100128017Y</t>
  </si>
  <si>
    <t xml:space="preserve">IN-MN66285586</t>
  </si>
  <si>
    <t xml:space="preserve">23-Sep-2026 06:03 PM</t>
  </si>
  <si>
    <t xml:space="preserve">SUBIN-MNMN-SELF86112449049116Y</t>
  </si>
  <si>
    <t xml:space="preserve">IN-MN44219436</t>
  </si>
  <si>
    <t xml:space="preserve">SUBIN-MNMN-SELF39135925461404Y</t>
  </si>
  <si>
    <t xml:space="preserve">IN-MN84454205</t>
  </si>
  <si>
    <t xml:space="preserve">23-Sep-2026 06:04 PM</t>
  </si>
  <si>
    <t xml:space="preserve">SUBIN-MNMN-SELF44426012186056Y</t>
  </si>
  <si>
    <t xml:space="preserve">IN-MN33274110</t>
  </si>
  <si>
    <t xml:space="preserve">SUBIN-MNMN-SELF57428978095982Y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</si>
</sst>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18"/>
    <col collapsed="false" customWidth="true" hidden="false" outlineLevel="0" max="2" min="2" style="0" width="9"/>
    <col collapsed="false" customWidth="true" hidden="false" outlineLevel="0" max="3" min="3" style="0" width="19.91"/>
    <col collapsed="false" customWidth="true" hidden="false" outlineLevel="0" max="4" min="4" style="0" width="14.18"/>
    <col collapsed="false" customWidth="true" hidden="false" outlineLevel="0" max="5" min="5" style="0" width="12.36"/>
    <col collapsed="false" customWidth="true" hidden="false" outlineLevel="0" max="6" min="6" style="0" width="11.36"/>
    <col collapsed="false" customWidth="true" hidden="false" outlineLevel="0" max="7" min="7" style="0" width="13.27"/>
    <col collapsed="false" customWidth="true" hidden="false" outlineLevel="0" max="8" min="8" style="0" width="8"/>
    <col collapsed="false" customWidth="true" hidden="false" outlineLevel="0" max="9" min="9" style="0" width="11.82"/>
    <col collapsed="false" customWidth="true" hidden="false" outlineLevel="0" max="10" min="10" style="0" width="11.63"/>
    <col collapsed="false" customWidth="true" hidden="false" outlineLevel="0" max="11" min="11" style="0" width="10.36"/>
    <col collapsed="false" customWidth="true" hidden="false" outlineLevel="0" max="12" min="12" style="0" width="12.54"/>
    <col collapsed="false" customWidth="true" hidden="false" outlineLevel="0" max="13" min="13" style="0" width="12"/>
    <col collapsed="false" customWidth="true" hidden="false" outlineLevel="0" max="17" min="14" style="0" width="10.73"/>
    <col collapsed="false" customWidth="true" hidden="false" outlineLevel="0" max="18" min="18" style="0" width="11.27"/>
    <col collapsed="false" customWidth="true" hidden="false" outlineLevel="0" max="20" min="19" style="0" width="13.27"/>
    <col collapsed="false" customWidth="true" hidden="false" outlineLevel="0" max="21" min="21" style="0" width="14.73"/>
    <col collapsed="false" customWidth="true" hidden="false" outlineLevel="0" max="22" min="22" style="0" width="19"/>
    <col collapsed="false" customWidth="true" hidden="false" outlineLevel="0" max="23" min="23" style="0" width="9.54"/>
    <col collapsed="false" customWidth="true" hidden="false" outlineLevel="0" max="24" min="24" style="0" width="12.1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customFormat="false" ht="14.25" hidden="false" customHeight="false" outlineLevel="0" collapsed="false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30</v>
      </c>
      <c r="H2" s="0" t="s">
        <v>31</v>
      </c>
      <c r="I2" s="3" t="n">
        <v>46321</v>
      </c>
      <c r="J2" s="4" t="n">
        <v>46361</v>
      </c>
      <c r="K2" s="0" t="n">
        <v>99500</v>
      </c>
      <c r="L2" s="0" t="n">
        <v>11900</v>
      </c>
      <c r="M2" s="2" t="n">
        <f aca="false">K2-L2</f>
        <v>87600</v>
      </c>
      <c r="N2" s="0" t="n">
        <v>30</v>
      </c>
      <c r="O2" s="0" t="n">
        <v>21.2</v>
      </c>
      <c r="P2" s="2" t="n">
        <f aca="false">Q2*N2-M2</f>
        <v>26010</v>
      </c>
      <c r="Q2" s="2" t="n">
        <f aca="false">ROUND(PMT(O2/1200,N2,-M2),0)</f>
        <v>3787</v>
      </c>
      <c r="R2" s="2" t="s">
        <v>32</v>
      </c>
      <c r="S2" s="2" t="s">
        <v>33</v>
      </c>
      <c r="T2" s="2" t="s">
        <v>34</v>
      </c>
      <c r="U2" s="2" t="s">
        <v>35</v>
      </c>
      <c r="V2" s="0" t="n">
        <v>0</v>
      </c>
      <c r="W2" s="2" t="n">
        <f aca="false">ROUND(M2*3.5%,0)</f>
        <v>3066</v>
      </c>
      <c r="X2" s="2" t="n">
        <f aca="false">M2-V2-W2</f>
        <v>84534</v>
      </c>
    </row>
    <row r="3" customFormat="false" ht="14.25" hidden="false" customHeight="false" outlineLevel="0" collapsed="false">
      <c r="A3" s="0" t="s">
        <v>24</v>
      </c>
      <c r="B3" s="0" t="s">
        <v>25</v>
      </c>
      <c r="C3" s="0" t="s">
        <v>36</v>
      </c>
      <c r="D3" s="0" t="s">
        <v>37</v>
      </c>
      <c r="E3" s="0" t="s">
        <v>28</v>
      </c>
      <c r="F3" s="0" t="s">
        <v>29</v>
      </c>
      <c r="G3" s="0" t="s">
        <v>38</v>
      </c>
      <c r="H3" s="0" t="s">
        <v>31</v>
      </c>
      <c r="I3" s="3" t="n">
        <v>46321</v>
      </c>
      <c r="J3" s="4" t="n">
        <v>46361</v>
      </c>
      <c r="K3" s="0" t="n">
        <v>92100</v>
      </c>
      <c r="L3" s="0" t="n">
        <v>9200</v>
      </c>
      <c r="M3" s="2" t="n">
        <f aca="false">K3-L3</f>
        <v>82900</v>
      </c>
      <c r="N3" s="0" t="n">
        <v>24</v>
      </c>
      <c r="O3" s="0" t="n">
        <v>19.5</v>
      </c>
      <c r="P3" s="2" t="n">
        <f aca="false">Q3*N3-M3</f>
        <v>17876</v>
      </c>
      <c r="Q3" s="2" t="n">
        <f aca="false">ROUND(PMT(O3/1200,N3,-M3),0)</f>
        <v>4199</v>
      </c>
      <c r="R3" s="2" t="s">
        <v>39</v>
      </c>
      <c r="S3" s="2" t="s">
        <v>40</v>
      </c>
      <c r="T3" s="2" t="s">
        <v>41</v>
      </c>
      <c r="U3" s="2" t="s">
        <v>42</v>
      </c>
      <c r="V3" s="0" t="n">
        <v>450</v>
      </c>
      <c r="W3" s="2" t="n">
        <f aca="false">ROUND(M3*3.5%,0)</f>
        <v>2902</v>
      </c>
      <c r="X3" s="2" t="n">
        <f aca="false">M3-V3-W3</f>
        <v>79548</v>
      </c>
    </row>
    <row r="4" customFormat="false" ht="14.25" hidden="false" customHeight="false" outlineLevel="0" collapsed="false">
      <c r="A4" s="0" t="s">
        <v>24</v>
      </c>
      <c r="B4" s="0" t="s">
        <v>25</v>
      </c>
      <c r="C4" s="0" t="s">
        <v>43</v>
      </c>
      <c r="D4" s="0" t="s">
        <v>44</v>
      </c>
      <c r="E4" s="0" t="s">
        <v>28</v>
      </c>
      <c r="F4" s="0" t="s">
        <v>29</v>
      </c>
      <c r="G4" s="0" t="s">
        <v>38</v>
      </c>
      <c r="H4" s="0" t="s">
        <v>31</v>
      </c>
      <c r="I4" s="3" t="n">
        <v>46321</v>
      </c>
      <c r="J4" s="4" t="n">
        <v>46361</v>
      </c>
      <c r="K4" s="0" t="n">
        <v>94100</v>
      </c>
      <c r="L4" s="0" t="n">
        <v>7500</v>
      </c>
      <c r="M4" s="2" t="n">
        <f aca="false">K4-L4</f>
        <v>86600</v>
      </c>
      <c r="N4" s="0" t="n">
        <v>24</v>
      </c>
      <c r="O4" s="0" t="n">
        <v>20.4</v>
      </c>
      <c r="P4" s="2" t="n">
        <f aca="false">Q4*N4-M4</f>
        <v>19600</v>
      </c>
      <c r="Q4" s="2" t="n">
        <f aca="false">ROUND(PMT(O4/1200,N4,-M4),0)</f>
        <v>4425</v>
      </c>
      <c r="R4" s="2" t="s">
        <v>39</v>
      </c>
      <c r="S4" s="2" t="s">
        <v>40</v>
      </c>
      <c r="T4" s="2" t="s">
        <v>45</v>
      </c>
      <c r="U4" s="2" t="s">
        <v>42</v>
      </c>
      <c r="V4" s="0" t="n">
        <v>380</v>
      </c>
      <c r="W4" s="2" t="n">
        <f aca="false">ROUND(M4*3.5%,0)</f>
        <v>3031</v>
      </c>
      <c r="X4" s="2" t="n">
        <f aca="false">M4-V4-W4</f>
        <v>83189</v>
      </c>
    </row>
    <row r="5" customFormat="false" ht="14.25" hidden="false" customHeight="false" outlineLevel="0" collapsed="false">
      <c r="A5" s="0" t="s">
        <v>24</v>
      </c>
      <c r="B5" s="0" t="s">
        <v>25</v>
      </c>
      <c r="C5" s="0" t="s">
        <v>46</v>
      </c>
      <c r="D5" s="0" t="s">
        <v>47</v>
      </c>
      <c r="E5" s="0" t="s">
        <v>28</v>
      </c>
      <c r="F5" s="0" t="s">
        <v>29</v>
      </c>
      <c r="G5" s="0" t="s">
        <v>48</v>
      </c>
      <c r="H5" s="0" t="s">
        <v>31</v>
      </c>
      <c r="I5" s="3" t="n">
        <v>46321</v>
      </c>
      <c r="J5" s="4" t="n">
        <v>46361</v>
      </c>
      <c r="K5" s="0" t="n">
        <v>96800</v>
      </c>
      <c r="L5" s="0" t="n">
        <v>9700</v>
      </c>
      <c r="M5" s="2" t="n">
        <f aca="false">K5-L5</f>
        <v>87100</v>
      </c>
      <c r="N5" s="0" t="n">
        <v>36</v>
      </c>
      <c r="O5" s="0" t="n">
        <v>20.4</v>
      </c>
      <c r="P5" s="2" t="n">
        <f aca="false">Q5*N5-M5</f>
        <v>30080</v>
      </c>
      <c r="Q5" s="2" t="n">
        <f aca="false">ROUND(PMT(O5/1200,N5,-M5),0)</f>
        <v>3255</v>
      </c>
      <c r="R5" s="2" t="s">
        <v>49</v>
      </c>
      <c r="S5" s="2" t="s">
        <v>50</v>
      </c>
      <c r="T5" s="2" t="s">
        <v>51</v>
      </c>
      <c r="U5" s="2" t="s">
        <v>42</v>
      </c>
      <c r="V5" s="0" t="n">
        <v>450</v>
      </c>
      <c r="W5" s="2" t="n">
        <f aca="false">ROUND(M5*3.5%,0)</f>
        <v>3049</v>
      </c>
      <c r="X5" s="2" t="n">
        <f aca="false">M5-V5-W5</f>
        <v>83601</v>
      </c>
    </row>
    <row r="6" customFormat="false" ht="14.25" hidden="false" customHeight="false" outlineLevel="0" collapsed="false">
      <c r="A6" s="0" t="s">
        <v>24</v>
      </c>
      <c r="B6" s="0" t="s">
        <v>25</v>
      </c>
      <c r="C6" s="0" t="s">
        <v>52</v>
      </c>
      <c r="D6" s="0" t="s">
        <v>53</v>
      </c>
      <c r="E6" s="0" t="s">
        <v>28</v>
      </c>
      <c r="F6" s="0" t="s">
        <v>29</v>
      </c>
      <c r="G6" s="0" t="s">
        <v>30</v>
      </c>
      <c r="H6" s="0" t="s">
        <v>31</v>
      </c>
      <c r="I6" s="3" t="n">
        <v>46322</v>
      </c>
      <c r="J6" s="4" t="n">
        <v>46361</v>
      </c>
      <c r="K6" s="0" t="n">
        <v>97500</v>
      </c>
      <c r="L6" s="0" t="n">
        <v>9800</v>
      </c>
      <c r="M6" s="2" t="n">
        <f aca="false">K6-L6</f>
        <v>87700</v>
      </c>
      <c r="N6" s="0" t="n">
        <v>30</v>
      </c>
      <c r="O6" s="0" t="n">
        <v>21.2</v>
      </c>
      <c r="P6" s="2" t="n">
        <f aca="false">Q6*N6-M6</f>
        <v>26030</v>
      </c>
      <c r="Q6" s="2" t="n">
        <f aca="false">ROUND(PMT(O6/1200,N6,-M6),0)</f>
        <v>3791</v>
      </c>
      <c r="R6" s="2" t="s">
        <v>32</v>
      </c>
      <c r="S6" s="2" t="s">
        <v>33</v>
      </c>
      <c r="T6" s="2" t="s">
        <v>54</v>
      </c>
      <c r="U6" s="2" t="s">
        <v>35</v>
      </c>
      <c r="V6" s="0" t="n">
        <v>0</v>
      </c>
      <c r="W6" s="2" t="n">
        <f aca="false">ROUND(M6*3.5%,0)</f>
        <v>3070</v>
      </c>
      <c r="X6" s="2" t="n">
        <f aca="false">M6-V6-W6</f>
        <v>84630</v>
      </c>
    </row>
    <row r="7" customFormat="false" ht="14.25" hidden="false" customHeight="false" outlineLevel="0" collapsed="false">
      <c r="A7" s="0" t="s">
        <v>24</v>
      </c>
      <c r="B7" s="0" t="s">
        <v>25</v>
      </c>
      <c r="C7" s="0" t="s">
        <v>55</v>
      </c>
      <c r="D7" s="0" t="s">
        <v>56</v>
      </c>
      <c r="E7" s="0" t="s">
        <v>28</v>
      </c>
      <c r="F7" s="0" t="s">
        <v>29</v>
      </c>
      <c r="G7" s="0" t="s">
        <v>57</v>
      </c>
      <c r="H7" s="0" t="s">
        <v>31</v>
      </c>
      <c r="I7" s="3" t="n">
        <v>46322</v>
      </c>
      <c r="J7" s="4" t="n">
        <v>46361</v>
      </c>
      <c r="K7" s="0" t="n">
        <v>112900</v>
      </c>
      <c r="L7" s="0" t="n">
        <v>13500</v>
      </c>
      <c r="M7" s="2" t="n">
        <f aca="false">K7-L7</f>
        <v>99400</v>
      </c>
      <c r="N7" s="0" t="n">
        <v>24</v>
      </c>
      <c r="O7" s="0" t="n">
        <v>23.5</v>
      </c>
      <c r="P7" s="2" t="n">
        <f aca="false">Q7*N7-M7</f>
        <v>26144</v>
      </c>
      <c r="Q7" s="2" t="n">
        <f aca="false">ROUND(PMT(O7/1200,N7,-M7),0)</f>
        <v>5231</v>
      </c>
      <c r="R7" s="2" t="s">
        <v>58</v>
      </c>
      <c r="S7" s="2" t="s">
        <v>59</v>
      </c>
      <c r="T7" s="2" t="s">
        <v>60</v>
      </c>
      <c r="U7" s="2" t="s">
        <v>42</v>
      </c>
      <c r="V7" s="0" t="n">
        <v>450</v>
      </c>
      <c r="W7" s="2" t="n">
        <f aca="false">ROUND(M7*3.5%,0)</f>
        <v>3479</v>
      </c>
      <c r="X7" s="2" t="n">
        <f aca="false">M7-V7-W7</f>
        <v>95471</v>
      </c>
    </row>
    <row r="8" customFormat="false" ht="14.25" hidden="false" customHeight="false" outlineLevel="0" collapsed="false">
      <c r="A8" s="0" t="s">
        <v>24</v>
      </c>
      <c r="B8" s="0" t="s">
        <v>25</v>
      </c>
      <c r="C8" s="0" t="s">
        <v>61</v>
      </c>
      <c r="D8" s="0" t="s">
        <v>62</v>
      </c>
      <c r="E8" s="0" t="s">
        <v>28</v>
      </c>
      <c r="F8" s="0" t="s">
        <v>29</v>
      </c>
      <c r="G8" s="0" t="s">
        <v>63</v>
      </c>
      <c r="H8" s="0" t="s">
        <v>31</v>
      </c>
      <c r="I8" s="3" t="n">
        <v>46322</v>
      </c>
      <c r="J8" s="4" t="n">
        <v>46361</v>
      </c>
      <c r="K8" s="0" t="n">
        <v>89200</v>
      </c>
      <c r="L8" s="0" t="n">
        <v>7100</v>
      </c>
      <c r="M8" s="2" t="n">
        <f aca="false">K8-L8</f>
        <v>82100</v>
      </c>
      <c r="N8" s="0" t="n">
        <v>36</v>
      </c>
      <c r="O8" s="0" t="n">
        <v>19.5</v>
      </c>
      <c r="P8" s="2" t="n">
        <f aca="false">Q8*N8-M8</f>
        <v>26980</v>
      </c>
      <c r="Q8" s="2" t="n">
        <f aca="false">ROUND(PMT(O8/1200,N8,-M8),0)</f>
        <v>3030</v>
      </c>
      <c r="R8" s="2" t="s">
        <v>64</v>
      </c>
      <c r="S8" s="2" t="s">
        <v>65</v>
      </c>
      <c r="T8" s="2" t="s">
        <v>66</v>
      </c>
      <c r="U8" s="2" t="s">
        <v>42</v>
      </c>
      <c r="V8" s="0" t="n">
        <v>420</v>
      </c>
      <c r="W8" s="2" t="n">
        <f aca="false">ROUND(M8*3.5%,0)</f>
        <v>2874</v>
      </c>
      <c r="X8" s="2" t="n">
        <f aca="false">M8-V8-W8</f>
        <v>78806</v>
      </c>
    </row>
    <row r="9" customFormat="false" ht="14.25" hidden="false" customHeight="false" outlineLevel="0" collapsed="false">
      <c r="A9" s="0" t="s">
        <v>24</v>
      </c>
      <c r="B9" s="0" t="s">
        <v>25</v>
      </c>
      <c r="C9" s="0" t="s">
        <v>67</v>
      </c>
      <c r="D9" s="0" t="s">
        <v>68</v>
      </c>
      <c r="E9" s="0" t="s">
        <v>28</v>
      </c>
      <c r="F9" s="0" t="s">
        <v>29</v>
      </c>
      <c r="G9" s="0" t="s">
        <v>63</v>
      </c>
      <c r="H9" s="0" t="s">
        <v>31</v>
      </c>
      <c r="I9" s="3" t="n">
        <v>46322</v>
      </c>
      <c r="J9" s="4" t="n">
        <v>46361</v>
      </c>
      <c r="K9" s="0" t="n">
        <v>88200</v>
      </c>
      <c r="L9" s="0" t="n">
        <v>13200</v>
      </c>
      <c r="M9" s="2" t="n">
        <f aca="false">K9-L9</f>
        <v>75000</v>
      </c>
      <c r="N9" s="0" t="n">
        <v>36</v>
      </c>
      <c r="O9" s="0" t="n">
        <v>20.4</v>
      </c>
      <c r="P9" s="2" t="n">
        <f aca="false">Q9*N9-M9</f>
        <v>25908</v>
      </c>
      <c r="Q9" s="2" t="n">
        <f aca="false">ROUND(PMT(O9/1200,N9,-M9),0)</f>
        <v>2803</v>
      </c>
      <c r="R9" s="2" t="s">
        <v>64</v>
      </c>
      <c r="S9" s="2" t="s">
        <v>65</v>
      </c>
      <c r="T9" s="2" t="s">
        <v>69</v>
      </c>
      <c r="U9" s="2" t="s">
        <v>35</v>
      </c>
      <c r="V9" s="0" t="n">
        <v>0</v>
      </c>
      <c r="W9" s="2" t="n">
        <f aca="false">ROUND(M9*3.5%,0)</f>
        <v>2625</v>
      </c>
      <c r="X9" s="2" t="n">
        <f aca="false">M9-V9-W9</f>
        <v>72375</v>
      </c>
    </row>
    <row r="10" customFormat="false" ht="14.25" hidden="false" customHeight="false" outlineLevel="0" collapsed="false">
      <c r="A10" s="0" t="s">
        <v>24</v>
      </c>
      <c r="B10" s="0" t="s">
        <v>25</v>
      </c>
      <c r="C10" s="0" t="s">
        <v>70</v>
      </c>
      <c r="D10" s="0" t="s">
        <v>71</v>
      </c>
      <c r="E10" s="0" t="s">
        <v>28</v>
      </c>
      <c r="F10" s="0" t="s">
        <v>29</v>
      </c>
      <c r="G10" s="0" t="s">
        <v>38</v>
      </c>
      <c r="H10" s="0" t="s">
        <v>31</v>
      </c>
      <c r="I10" s="3" t="n">
        <v>46323</v>
      </c>
      <c r="J10" s="4" t="n">
        <v>46361</v>
      </c>
      <c r="K10" s="0" t="n">
        <v>94100</v>
      </c>
      <c r="L10" s="0" t="n">
        <v>9400</v>
      </c>
      <c r="M10" s="2" t="n">
        <f aca="false">K10-L10</f>
        <v>84700</v>
      </c>
      <c r="N10" s="0" t="n">
        <v>36</v>
      </c>
      <c r="O10" s="0" t="n">
        <v>22</v>
      </c>
      <c r="P10" s="2" t="n">
        <f aca="false">Q10*N10-M10</f>
        <v>31760</v>
      </c>
      <c r="Q10" s="2" t="n">
        <f aca="false">ROUND(PMT(O10/1200,N10,-M10),0)</f>
        <v>3235</v>
      </c>
      <c r="R10" s="2" t="s">
        <v>39</v>
      </c>
      <c r="S10" s="2" t="s">
        <v>40</v>
      </c>
      <c r="T10" s="2" t="s">
        <v>60</v>
      </c>
      <c r="U10" s="2" t="s">
        <v>35</v>
      </c>
      <c r="V10" s="0" t="n">
        <v>0</v>
      </c>
      <c r="W10" s="2" t="n">
        <f aca="false">ROUND(M10*3.5%,0)</f>
        <v>2965</v>
      </c>
      <c r="X10" s="2" t="n">
        <f aca="false">M10-V10-W10</f>
        <v>81735</v>
      </c>
    </row>
    <row r="11" customFormat="false" ht="14.25" hidden="false" customHeight="false" outlineLevel="0" collapsed="false">
      <c r="A11" s="0" t="s">
        <v>24</v>
      </c>
      <c r="B11" s="0" t="s">
        <v>25</v>
      </c>
      <c r="C11" s="0" t="s">
        <v>72</v>
      </c>
      <c r="D11" s="0" t="s">
        <v>73</v>
      </c>
      <c r="E11" s="0" t="s">
        <v>28</v>
      </c>
      <c r="F11" s="0" t="s">
        <v>29</v>
      </c>
      <c r="G11" s="0" t="s">
        <v>57</v>
      </c>
      <c r="H11" s="0" t="s">
        <v>31</v>
      </c>
      <c r="I11" s="3" t="n">
        <v>46323</v>
      </c>
      <c r="J11" s="4" t="n">
        <v>46361</v>
      </c>
      <c r="K11" s="0" t="n">
        <v>113400</v>
      </c>
      <c r="L11" s="0" t="n">
        <v>9100</v>
      </c>
      <c r="M11" s="2" t="n">
        <f aca="false">K11-L11</f>
        <v>104300</v>
      </c>
      <c r="N11" s="0" t="n">
        <v>24</v>
      </c>
      <c r="O11" s="0" t="n">
        <v>22</v>
      </c>
      <c r="P11" s="2" t="n">
        <f aca="false">Q11*N11-M11</f>
        <v>25564</v>
      </c>
      <c r="Q11" s="2" t="n">
        <f aca="false">ROUND(PMT(O11/1200,N11,-M11),0)</f>
        <v>5411</v>
      </c>
      <c r="R11" s="2" t="s">
        <v>58</v>
      </c>
      <c r="S11" s="2" t="s">
        <v>59</v>
      </c>
      <c r="T11" s="2" t="s">
        <v>45</v>
      </c>
      <c r="U11" s="2" t="s">
        <v>42</v>
      </c>
      <c r="V11" s="0" t="n">
        <v>420</v>
      </c>
      <c r="W11" s="2" t="n">
        <f aca="false">ROUND(M11*3.5%,0)</f>
        <v>3651</v>
      </c>
      <c r="X11" s="2" t="n">
        <f aca="false">M11-V11-W11</f>
        <v>100229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36"/>
    <col collapsed="false" customWidth="true" hidden="false" outlineLevel="0" max="8" min="8" style="0" width="10"/>
    <col collapsed="false" customWidth="true" hidden="false" outlineLevel="0" max="9" min="9" style="0" width="22"/>
    <col collapsed="false" customWidth="true" hidden="false" outlineLevel="0" max="10" min="10" style="0" width="52"/>
    <col collapsed="false" customWidth="true" hidden="false" outlineLevel="0" max="11" min="11" style="0" width="6"/>
  </cols>
  <sheetData>
    <row r="1" customFormat="false" ht="28.35" hidden="false" customHeight="false" outlineLevel="0" collapsed="false">
      <c r="A1" s="5" t="s">
        <v>2</v>
      </c>
      <c r="B1" s="5" t="s">
        <v>1</v>
      </c>
      <c r="C1" s="5" t="s">
        <v>0</v>
      </c>
      <c r="D1" s="5" t="s">
        <v>74</v>
      </c>
      <c r="E1" s="5" t="s">
        <v>75</v>
      </c>
      <c r="F1" s="5" t="s">
        <v>76</v>
      </c>
      <c r="G1" s="5" t="s">
        <v>77</v>
      </c>
      <c r="H1" s="5" t="s">
        <v>78</v>
      </c>
      <c r="I1" s="5" t="s">
        <v>79</v>
      </c>
      <c r="J1" s="5" t="s">
        <v>80</v>
      </c>
      <c r="K1" s="5" t="s">
        <v>81</v>
      </c>
    </row>
    <row r="2" customFormat="false" ht="15" hidden="false" customHeight="false" outlineLevel="0" collapsed="false">
      <c r="A2" s="6" t="s">
        <v>26</v>
      </c>
      <c r="B2" s="6" t="s">
        <v>25</v>
      </c>
      <c r="C2" s="6" t="s">
        <v>82</v>
      </c>
      <c r="D2" s="6" t="s">
        <v>83</v>
      </c>
      <c r="E2" s="6" t="s">
        <v>84</v>
      </c>
      <c r="F2" s="6" t="s">
        <v>85</v>
      </c>
      <c r="G2" s="6" t="s">
        <v>86</v>
      </c>
      <c r="H2" s="6" t="n">
        <v>100</v>
      </c>
      <c r="I2" s="6" t="s">
        <v>87</v>
      </c>
      <c r="J2" s="6" t="s">
        <v>88</v>
      </c>
      <c r="K2" s="6" t="n">
        <v>1</v>
      </c>
    </row>
    <row r="3" customFormat="false" ht="15" hidden="false" customHeight="false" outlineLevel="0" collapsed="false">
      <c r="A3" s="6" t="s">
        <v>36</v>
      </c>
      <c r="B3" s="6" t="s">
        <v>25</v>
      </c>
      <c r="C3" s="6" t="s">
        <v>82</v>
      </c>
      <c r="D3" s="6" t="s">
        <v>83</v>
      </c>
      <c r="E3" s="6" t="s">
        <v>89</v>
      </c>
      <c r="F3" s="6" t="s">
        <v>85</v>
      </c>
      <c r="G3" s="6" t="s">
        <v>90</v>
      </c>
      <c r="H3" s="6" t="n">
        <v>100</v>
      </c>
      <c r="I3" s="6" t="s">
        <v>87</v>
      </c>
      <c r="J3" s="6" t="s">
        <v>88</v>
      </c>
      <c r="K3" s="6" t="n">
        <v>2</v>
      </c>
    </row>
    <row r="4" customFormat="false" ht="15" hidden="false" customHeight="false" outlineLevel="0" collapsed="false">
      <c r="A4" s="6" t="s">
        <v>43</v>
      </c>
      <c r="B4" s="6" t="s">
        <v>25</v>
      </c>
      <c r="C4" s="6" t="s">
        <v>82</v>
      </c>
      <c r="D4" s="6" t="s">
        <v>83</v>
      </c>
      <c r="E4" s="6" t="s">
        <v>91</v>
      </c>
      <c r="F4" s="6" t="s">
        <v>92</v>
      </c>
      <c r="G4" s="6" t="s">
        <v>93</v>
      </c>
      <c r="H4" s="6" t="n">
        <v>100</v>
      </c>
      <c r="I4" s="6" t="s">
        <v>87</v>
      </c>
      <c r="J4" s="6" t="s">
        <v>88</v>
      </c>
      <c r="K4" s="6" t="n">
        <v>3</v>
      </c>
    </row>
    <row r="5" customFormat="false" ht="15" hidden="false" customHeight="false" outlineLevel="0" collapsed="false">
      <c r="A5" s="6" t="s">
        <v>46</v>
      </c>
      <c r="B5" s="6" t="s">
        <v>25</v>
      </c>
      <c r="C5" s="6" t="s">
        <v>82</v>
      </c>
      <c r="D5" s="6" t="s">
        <v>83</v>
      </c>
      <c r="E5" s="6" t="s">
        <v>94</v>
      </c>
      <c r="F5" s="6" t="s">
        <v>92</v>
      </c>
      <c r="G5" s="6" t="s">
        <v>95</v>
      </c>
      <c r="H5" s="6" t="n">
        <v>100</v>
      </c>
      <c r="I5" s="6" t="s">
        <v>87</v>
      </c>
      <c r="J5" s="6" t="s">
        <v>88</v>
      </c>
      <c r="K5" s="6" t="n">
        <v>4</v>
      </c>
    </row>
    <row r="6" customFormat="false" ht="15" hidden="false" customHeight="false" outlineLevel="0" collapsed="false">
      <c r="A6" s="6" t="s">
        <v>52</v>
      </c>
      <c r="B6" s="6" t="s">
        <v>25</v>
      </c>
      <c r="C6" s="6" t="s">
        <v>82</v>
      </c>
      <c r="D6" s="6" t="s">
        <v>83</v>
      </c>
      <c r="E6" s="6" t="s">
        <v>96</v>
      </c>
      <c r="F6" s="6" t="s">
        <v>97</v>
      </c>
      <c r="G6" s="6" t="s">
        <v>98</v>
      </c>
      <c r="H6" s="6" t="n">
        <v>100</v>
      </c>
      <c r="I6" s="6" t="s">
        <v>87</v>
      </c>
      <c r="J6" s="6" t="s">
        <v>88</v>
      </c>
      <c r="K6" s="6" t="n">
        <v>5</v>
      </c>
    </row>
    <row r="7" customFormat="false" ht="15" hidden="false" customHeight="false" outlineLevel="0" collapsed="false">
      <c r="A7" s="6" t="s">
        <v>55</v>
      </c>
      <c r="B7" s="6" t="s">
        <v>25</v>
      </c>
      <c r="C7" s="6" t="s">
        <v>82</v>
      </c>
      <c r="D7" s="6" t="s">
        <v>83</v>
      </c>
      <c r="E7" s="6" t="s">
        <v>99</v>
      </c>
      <c r="F7" s="6" t="s">
        <v>97</v>
      </c>
      <c r="G7" s="6" t="s">
        <v>100</v>
      </c>
      <c r="H7" s="6" t="n">
        <v>100</v>
      </c>
      <c r="I7" s="6" t="s">
        <v>87</v>
      </c>
      <c r="J7" s="6" t="s">
        <v>88</v>
      </c>
      <c r="K7" s="6" t="n">
        <v>6</v>
      </c>
    </row>
    <row r="8" customFormat="false" ht="15" hidden="false" customHeight="false" outlineLevel="0" collapsed="false">
      <c r="A8" s="6" t="s">
        <v>61</v>
      </c>
      <c r="B8" s="6" t="s">
        <v>25</v>
      </c>
      <c r="C8" s="6" t="s">
        <v>82</v>
      </c>
      <c r="D8" s="6" t="s">
        <v>83</v>
      </c>
      <c r="E8" s="6" t="s">
        <v>101</v>
      </c>
      <c r="F8" s="6" t="s">
        <v>102</v>
      </c>
      <c r="G8" s="6" t="s">
        <v>103</v>
      </c>
      <c r="H8" s="6" t="n">
        <v>100</v>
      </c>
      <c r="I8" s="6" t="s">
        <v>87</v>
      </c>
      <c r="J8" s="6" t="s">
        <v>88</v>
      </c>
      <c r="K8" s="6" t="n">
        <v>7</v>
      </c>
    </row>
    <row r="9" customFormat="false" ht="15" hidden="false" customHeight="false" outlineLevel="0" collapsed="false">
      <c r="A9" s="6" t="s">
        <v>67</v>
      </c>
      <c r="B9" s="6" t="s">
        <v>25</v>
      </c>
      <c r="C9" s="6" t="s">
        <v>82</v>
      </c>
      <c r="D9" s="6" t="s">
        <v>83</v>
      </c>
      <c r="E9" s="6" t="s">
        <v>104</v>
      </c>
      <c r="F9" s="6" t="s">
        <v>102</v>
      </c>
      <c r="G9" s="6" t="s">
        <v>105</v>
      </c>
      <c r="H9" s="6" t="n">
        <v>100</v>
      </c>
      <c r="I9" s="6" t="s">
        <v>87</v>
      </c>
      <c r="J9" s="6" t="s">
        <v>88</v>
      </c>
      <c r="K9" s="6" t="n">
        <v>8</v>
      </c>
    </row>
    <row r="10" customFormat="false" ht="15" hidden="false" customHeight="false" outlineLevel="0" collapsed="false">
      <c r="A10" s="6" t="s">
        <v>70</v>
      </c>
      <c r="B10" s="6" t="s">
        <v>25</v>
      </c>
      <c r="C10" s="6" t="s">
        <v>82</v>
      </c>
      <c r="D10" s="6" t="s">
        <v>83</v>
      </c>
      <c r="E10" s="6" t="s">
        <v>106</v>
      </c>
      <c r="F10" s="6" t="s">
        <v>107</v>
      </c>
      <c r="G10" s="6" t="s">
        <v>108</v>
      </c>
      <c r="H10" s="6" t="n">
        <v>100</v>
      </c>
      <c r="I10" s="6" t="s">
        <v>87</v>
      </c>
      <c r="J10" s="6" t="s">
        <v>88</v>
      </c>
      <c r="K10" s="6" t="n">
        <v>9</v>
      </c>
    </row>
    <row r="11" customFormat="false" ht="15" hidden="false" customHeight="false" outlineLevel="0" collapsed="false">
      <c r="A11" s="6" t="s">
        <v>72</v>
      </c>
      <c r="B11" s="6" t="s">
        <v>25</v>
      </c>
      <c r="C11" s="6" t="s">
        <v>82</v>
      </c>
      <c r="D11" s="6" t="s">
        <v>83</v>
      </c>
      <c r="E11" s="6" t="s">
        <v>109</v>
      </c>
      <c r="F11" s="6" t="s">
        <v>107</v>
      </c>
      <c r="G11" s="6" t="s">
        <v>110</v>
      </c>
      <c r="H11" s="6" t="n">
        <v>100</v>
      </c>
      <c r="I11" s="6" t="s">
        <v>87</v>
      </c>
      <c r="J11" s="6" t="s">
        <v>88</v>
      </c>
      <c r="K11" s="6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2026-10-22T17:23:34Z</dcterms:created>
  <dc:creator>DHANUNJAY BHOGA</dc:creator>
  <dc:description/>
  <dc:language>en-US</dc:language>
  <cp:lastModifiedBy>MG00067</cp:lastModifiedBy>
  <dcterms:modified xsi:type="dcterms:W3CDTF">2026-10-27T21:08:16Z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