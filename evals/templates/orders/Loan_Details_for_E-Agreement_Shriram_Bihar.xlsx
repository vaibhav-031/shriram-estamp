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<sst xmlns="http://schemas.openxmlformats.org/spreadsheetml/2006/main" count="225" uniqueCount="91">
  <si>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</si>
  <si>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</si>
  <si>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</si>
  <si>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</si>
  <si>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</si>
  <si>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</si>
  <si>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</si>
  <si>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</si>
  <si>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</si>
  <si>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</si>
  <si>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</si>
  <si>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</si>
  <si>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</si>
  <si>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</si>
  <si>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</si>
  <si>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</si>
  <si>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</si>
  <si>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</si>
  <si>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</si>
  <si>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</si>
  <si>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</si>
  <si>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</si>
  <si>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</si>
  <si>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</si>
  <si>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LUCKNOW RF</t>
  </si>
  <si>
    <t xml:space="preserve">BIHAR</t>
  </si>
  <si>
    <t xml:space="preserve">BRPATTW2610260001</t>
  </si>
  <si>
    <t xml:space="preserve">Ramesh Kumar</t>
  </si>
  <si>
    <t xml:space="preserve">BRPAT</t>
  </si>
  <si>
    <t xml:space="preserve">Twnj</t>
  </si>
  <si>
    <t xml:space="preserve">HONDAMOTOR</t>
  </si>
  <si>
    <t xml:space="preserve">MOBIKE</t>
  </si>
  <si>
    <t xml:space="preserve">BRD13052</t>
  </si>
  <si>
    <t xml:space="preserve">PATNA HONDA MOTORS</t>
  </si>
  <si>
    <t xml:space="preserve">ARUNNAIR</t>
  </si>
  <si>
    <t xml:space="preserve">N</t>
  </si>
  <si>
    <t xml:space="preserve">BRPATTW2610260002</t>
  </si>
  <si>
    <t xml:space="preserve">Sunita Singh</t>
  </si>
  <si>
    <t xml:space="preserve">BAJAJAUTOL</t>
  </si>
  <si>
    <t xml:space="preserve">BRD75030</t>
  </si>
  <si>
    <t xml:space="preserve">PATNA BAJAJ MOTORS</t>
  </si>
  <si>
    <t xml:space="preserve">DEEPAKDAS</t>
  </si>
  <si>
    <t xml:space="preserve">Y</t>
  </si>
  <si>
    <t xml:space="preserve">BRPATTW2610260003</t>
  </si>
  <si>
    <t xml:space="preserve">Manoj Prasad</t>
  </si>
  <si>
    <t xml:space="preserve">RAKESHKUMAR</t>
  </si>
  <si>
    <t xml:space="preserve">BRPATTW2610260004</t>
  </si>
  <si>
    <t xml:space="preserve">Kavita Jha</t>
  </si>
  <si>
    <t xml:space="preserve">BRPATTW2610270005</t>
  </si>
  <si>
    <t xml:space="preserve">Ajay Sinha</t>
  </si>
  <si>
    <t xml:space="preserve">TVSMOTORCO</t>
  </si>
  <si>
    <t xml:space="preserve">BRD84964</t>
  </si>
  <si>
    <t xml:space="preserve">PATNA TVS MOTORS</t>
  </si>
  <si>
    <t xml:space="preserve">BRPATTW2610270006</t>
  </si>
  <si>
    <t xml:space="preserve">Rekha Kumar</t>
  </si>
  <si>
    <t xml:space="preserve">SUZUKIMOTO</t>
  </si>
  <si>
    <t xml:space="preserve">BRD91701</t>
  </si>
  <si>
    <t xml:space="preserve">PATNA SUZUKI MOTORS</t>
  </si>
  <si>
    <t xml:space="preserve">ANILKUMAR</t>
  </si>
  <si>
    <t xml:space="preserve">BRPATTW2610270007</t>
  </si>
  <si>
    <t xml:space="preserve">Pankaj Singh</t>
  </si>
  <si>
    <t xml:space="preserve">BRPATTW2610270008</t>
  </si>
  <si>
    <t xml:space="preserve">Seema Prasad</t>
  </si>
  <si>
    <t xml:space="preserve">BRPATTW2610280009</t>
  </si>
  <si>
    <t xml:space="preserve">Vinod Jha</t>
  </si>
  <si>
    <t xml:space="preserve">SURESHBABU</t>
  </si>
  <si>
    <t xml:space="preserve">BRPATTW2610280010</t>
  </si>
  <si>
    <t xml:space="preserve">Asha Sinha</t>
  </si>
  <si>
    <t xml:space="preserve">MANOJVERMA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</si>
  <si>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</si>
  <si>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</si>
  <si>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</si>
  <si>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</si>
  <si>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</si>
  <si>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</si>
  <si>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</si>
  <si>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</si>
  <si>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LUCKNOW</t>
  </si>
  <si>
    <t xml:space="preserve">Traditional</t>
  </si>
  <si>
    <t xml:space="preserve">BE 176816</t>
  </si>
  <si>
    <t xml:space="preserve">Article 5</t>
  </si>
  <si>
    <t xml:space="preserve">Shriram_Finance_Bihar_Traditional_x10.pdf</t>
  </si>
  <si>
    <t xml:space="preserve">BE 176817</t>
  </si>
  <si>
    <t xml:space="preserve">BE 176818</t>
  </si>
  <si>
    <t xml:space="preserve">BE 176819</t>
  </si>
  <si>
    <t xml:space="preserve">BE 176820</t>
  </si>
  <si>
    <t xml:space="preserve">BE 176821</t>
  </si>
  <si>
    <t xml:space="preserve">BE 176822</t>
  </si>
  <si>
    <t xml:space="preserve">BE 176823</t>
  </si>
  <si>
    <t xml:space="preserve">BE 176824</t>
  </si>
  <si>
    <t xml:space="preserve">BE 176825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</si>
</sst>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96500</v>
      </c>
      <c r="L2" s="0" t="n">
        <v>7700</v>
      </c>
      <c r="M2" s="2" t="n">
        <f aca="false">K2-L2</f>
        <v>88800</v>
      </c>
      <c r="N2" s="0" t="n">
        <v>36</v>
      </c>
      <c r="O2" s="0" t="n">
        <v>23.5</v>
      </c>
      <c r="P2" s="2" t="n">
        <f aca="false">Q2*N2-M2</f>
        <v>35796</v>
      </c>
      <c r="Q2" s="2" t="n">
        <f aca="false">ROUND(PMT(O2/1200,N2,-M2),0)</f>
        <v>3461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0</v>
      </c>
      <c r="W2" s="2" t="n">
        <f aca="false">ROUND(M2*3.5%,0)</f>
        <v>3108</v>
      </c>
      <c r="X2" s="2" t="n">
        <f aca="false">M2-V2-W2</f>
        <v>85692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38</v>
      </c>
      <c r="H3" s="0" t="s">
        <v>31</v>
      </c>
      <c r="I3" s="3" t="n">
        <v>46321</v>
      </c>
      <c r="J3" s="4" t="n">
        <v>46361</v>
      </c>
      <c r="K3" s="0" t="n">
        <v>113900</v>
      </c>
      <c r="L3" s="0" t="n">
        <v>17100</v>
      </c>
      <c r="M3" s="2" t="n">
        <f aca="false">K3-L3</f>
        <v>96800</v>
      </c>
      <c r="N3" s="0" t="n">
        <v>30</v>
      </c>
      <c r="O3" s="0" t="n">
        <v>23.5</v>
      </c>
      <c r="P3" s="2" t="n">
        <f aca="false">Q3*N3-M3</f>
        <v>32110</v>
      </c>
      <c r="Q3" s="2" t="n">
        <f aca="false">ROUND(PMT(O3/1200,N3,-M3),0)</f>
        <v>4297</v>
      </c>
      <c r="R3" s="2" t="s">
        <v>39</v>
      </c>
      <c r="S3" s="2" t="s">
        <v>40</v>
      </c>
      <c r="T3" s="2" t="s">
        <v>41</v>
      </c>
      <c r="U3" s="2" t="s">
        <v>42</v>
      </c>
      <c r="V3" s="0" t="n">
        <v>520</v>
      </c>
      <c r="W3" s="2" t="n">
        <f aca="false">ROUND(M3*3.5%,0)</f>
        <v>3388</v>
      </c>
      <c r="X3" s="2" t="n">
        <f aca="false">M3-V3-W3</f>
        <v>92892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43</v>
      </c>
      <c r="D4" s="0" t="s">
        <v>44</v>
      </c>
      <c r="E4" s="0" t="s">
        <v>28</v>
      </c>
      <c r="F4" s="0" t="s">
        <v>29</v>
      </c>
      <c r="G4" s="0" t="s">
        <v>30</v>
      </c>
      <c r="H4" s="0" t="s">
        <v>31</v>
      </c>
      <c r="I4" s="3" t="n">
        <v>46321</v>
      </c>
      <c r="J4" s="4" t="n">
        <v>46361</v>
      </c>
      <c r="K4" s="0" t="n">
        <v>100500</v>
      </c>
      <c r="L4" s="0" t="n">
        <v>15100</v>
      </c>
      <c r="M4" s="2" t="n">
        <f aca="false">K4-L4</f>
        <v>85400</v>
      </c>
      <c r="N4" s="0" t="n">
        <v>24</v>
      </c>
      <c r="O4" s="0" t="n">
        <v>20.4</v>
      </c>
      <c r="P4" s="2" t="n">
        <f aca="false">Q4*N4-M4</f>
        <v>19312</v>
      </c>
      <c r="Q4" s="2" t="n">
        <f aca="false">ROUND(PMT(O4/1200,N4,-M4),0)</f>
        <v>4363</v>
      </c>
      <c r="R4" s="2" t="s">
        <v>32</v>
      </c>
      <c r="S4" s="2" t="s">
        <v>33</v>
      </c>
      <c r="T4" s="2" t="s">
        <v>45</v>
      </c>
      <c r="U4" s="2" t="s">
        <v>35</v>
      </c>
      <c r="V4" s="0" t="n">
        <v>0</v>
      </c>
      <c r="W4" s="2" t="n">
        <f aca="false">ROUND(M4*3.5%,0)</f>
        <v>2989</v>
      </c>
      <c r="X4" s="2" t="n">
        <f aca="false">M4-V4-W4</f>
        <v>82411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46</v>
      </c>
      <c r="D5" s="0" t="s">
        <v>47</v>
      </c>
      <c r="E5" s="0" t="s">
        <v>28</v>
      </c>
      <c r="F5" s="0" t="s">
        <v>29</v>
      </c>
      <c r="G5" s="0" t="s">
        <v>38</v>
      </c>
      <c r="H5" s="0" t="s">
        <v>31</v>
      </c>
      <c r="I5" s="3" t="n">
        <v>46321</v>
      </c>
      <c r="J5" s="4" t="n">
        <v>46361</v>
      </c>
      <c r="K5" s="0" t="n">
        <v>112900</v>
      </c>
      <c r="L5" s="0" t="n">
        <v>9000</v>
      </c>
      <c r="M5" s="2" t="n">
        <f aca="false">K5-L5</f>
        <v>103900</v>
      </c>
      <c r="N5" s="0" t="n">
        <v>24</v>
      </c>
      <c r="O5" s="0" t="n">
        <v>19.5</v>
      </c>
      <c r="P5" s="2" t="n">
        <f aca="false">Q5*N5-M5</f>
        <v>22412</v>
      </c>
      <c r="Q5" s="2" t="n">
        <f aca="false">ROUND(PMT(O5/1200,N5,-M5),0)</f>
        <v>5263</v>
      </c>
      <c r="R5" s="2" t="s">
        <v>39</v>
      </c>
      <c r="S5" s="2" t="s">
        <v>40</v>
      </c>
      <c r="T5" s="2" t="s">
        <v>34</v>
      </c>
      <c r="U5" s="2" t="s">
        <v>35</v>
      </c>
      <c r="V5" s="0" t="n">
        <v>0</v>
      </c>
      <c r="W5" s="2" t="n">
        <f aca="false">ROUND(M5*3.5%,0)</f>
        <v>3637</v>
      </c>
      <c r="X5" s="2" t="n">
        <f aca="false">M5-V5-W5</f>
        <v>100263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48</v>
      </c>
      <c r="D6" s="0" t="s">
        <v>49</v>
      </c>
      <c r="E6" s="0" t="s">
        <v>28</v>
      </c>
      <c r="F6" s="0" t="s">
        <v>29</v>
      </c>
      <c r="G6" s="0" t="s">
        <v>50</v>
      </c>
      <c r="H6" s="0" t="s">
        <v>31</v>
      </c>
      <c r="I6" s="3" t="n">
        <v>46322</v>
      </c>
      <c r="J6" s="4" t="n">
        <v>46361</v>
      </c>
      <c r="K6" s="0" t="n">
        <v>91100</v>
      </c>
      <c r="L6" s="0" t="n">
        <v>10900</v>
      </c>
      <c r="M6" s="2" t="n">
        <f aca="false">K6-L6</f>
        <v>80200</v>
      </c>
      <c r="N6" s="0" t="n">
        <v>24</v>
      </c>
      <c r="O6" s="0" t="n">
        <v>19.5</v>
      </c>
      <c r="P6" s="2" t="n">
        <f aca="false">Q6*N6-M6</f>
        <v>17288</v>
      </c>
      <c r="Q6" s="2" t="n">
        <f aca="false">ROUND(PMT(O6/1200,N6,-M6),0)</f>
        <v>4062</v>
      </c>
      <c r="R6" s="2" t="s">
        <v>51</v>
      </c>
      <c r="S6" s="2" t="s">
        <v>52</v>
      </c>
      <c r="T6" s="2" t="s">
        <v>45</v>
      </c>
      <c r="U6" s="2" t="s">
        <v>42</v>
      </c>
      <c r="V6" s="0" t="n">
        <v>520</v>
      </c>
      <c r="W6" s="2" t="n">
        <f aca="false">ROUND(M6*3.5%,0)</f>
        <v>2807</v>
      </c>
      <c r="X6" s="2" t="n">
        <f aca="false">M6-V6-W6</f>
        <v>76873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53</v>
      </c>
      <c r="D7" s="0" t="s">
        <v>54</v>
      </c>
      <c r="E7" s="0" t="s">
        <v>28</v>
      </c>
      <c r="F7" s="0" t="s">
        <v>29</v>
      </c>
      <c r="G7" s="0" t="s">
        <v>55</v>
      </c>
      <c r="H7" s="0" t="s">
        <v>31</v>
      </c>
      <c r="I7" s="3" t="n">
        <v>46322</v>
      </c>
      <c r="J7" s="4" t="n">
        <v>46361</v>
      </c>
      <c r="K7" s="0" t="n">
        <v>96300</v>
      </c>
      <c r="L7" s="0" t="n">
        <v>7700</v>
      </c>
      <c r="M7" s="2" t="n">
        <f aca="false">K7-L7</f>
        <v>88600</v>
      </c>
      <c r="N7" s="0" t="n">
        <v>30</v>
      </c>
      <c r="O7" s="0" t="n">
        <v>20.4</v>
      </c>
      <c r="P7" s="2" t="n">
        <f aca="false">Q7*N7-M7</f>
        <v>25250</v>
      </c>
      <c r="Q7" s="2" t="n">
        <f aca="false">ROUND(PMT(O7/1200,N7,-M7),0)</f>
        <v>3795</v>
      </c>
      <c r="R7" s="2" t="s">
        <v>56</v>
      </c>
      <c r="S7" s="2" t="s">
        <v>57</v>
      </c>
      <c r="T7" s="2" t="s">
        <v>58</v>
      </c>
      <c r="U7" s="2" t="s">
        <v>42</v>
      </c>
      <c r="V7" s="0" t="n">
        <v>450</v>
      </c>
      <c r="W7" s="2" t="n">
        <f aca="false">ROUND(M7*3.5%,0)</f>
        <v>3101</v>
      </c>
      <c r="X7" s="2" t="n">
        <f aca="false">M7-V7-W7</f>
        <v>85049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59</v>
      </c>
      <c r="D8" s="0" t="s">
        <v>60</v>
      </c>
      <c r="E8" s="0" t="s">
        <v>28</v>
      </c>
      <c r="F8" s="0" t="s">
        <v>29</v>
      </c>
      <c r="G8" s="0" t="s">
        <v>30</v>
      </c>
      <c r="H8" s="0" t="s">
        <v>31</v>
      </c>
      <c r="I8" s="3" t="n">
        <v>46322</v>
      </c>
      <c r="J8" s="4" t="n">
        <v>46361</v>
      </c>
      <c r="K8" s="0" t="n">
        <v>99000</v>
      </c>
      <c r="L8" s="0" t="n">
        <v>7900</v>
      </c>
      <c r="M8" s="2" t="n">
        <f aca="false">K8-L8</f>
        <v>91100</v>
      </c>
      <c r="N8" s="0" t="n">
        <v>30</v>
      </c>
      <c r="O8" s="0" t="n">
        <v>20.4</v>
      </c>
      <c r="P8" s="2" t="n">
        <f aca="false">Q8*N8-M8</f>
        <v>25960</v>
      </c>
      <c r="Q8" s="2" t="n">
        <f aca="false">ROUND(PMT(O8/1200,N8,-M8),0)</f>
        <v>3902</v>
      </c>
      <c r="R8" s="2" t="s">
        <v>32</v>
      </c>
      <c r="S8" s="2" t="s">
        <v>33</v>
      </c>
      <c r="T8" s="2" t="s">
        <v>45</v>
      </c>
      <c r="U8" s="2" t="s">
        <v>42</v>
      </c>
      <c r="V8" s="0" t="n">
        <v>450</v>
      </c>
      <c r="W8" s="2" t="n">
        <f aca="false">ROUND(M8*3.5%,0)</f>
        <v>3189</v>
      </c>
      <c r="X8" s="2" t="n">
        <f aca="false">M8-V8-W8</f>
        <v>87461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61</v>
      </c>
      <c r="D9" s="0" t="s">
        <v>62</v>
      </c>
      <c r="E9" s="0" t="s">
        <v>28</v>
      </c>
      <c r="F9" s="0" t="s">
        <v>29</v>
      </c>
      <c r="G9" s="0" t="s">
        <v>50</v>
      </c>
      <c r="H9" s="0" t="s">
        <v>31</v>
      </c>
      <c r="I9" s="3" t="n">
        <v>46322</v>
      </c>
      <c r="J9" s="4" t="n">
        <v>46361</v>
      </c>
      <c r="K9" s="0" t="n">
        <v>92100</v>
      </c>
      <c r="L9" s="0" t="n">
        <v>11100</v>
      </c>
      <c r="M9" s="2" t="n">
        <f aca="false">K9-L9</f>
        <v>81000</v>
      </c>
      <c r="N9" s="0" t="n">
        <v>30</v>
      </c>
      <c r="O9" s="0" t="n">
        <v>19.5</v>
      </c>
      <c r="P9" s="2" t="n">
        <f aca="false">Q9*N9-M9</f>
        <v>21990</v>
      </c>
      <c r="Q9" s="2" t="n">
        <f aca="false">ROUND(PMT(O9/1200,N9,-M9),0)</f>
        <v>3433</v>
      </c>
      <c r="R9" s="2" t="s">
        <v>51</v>
      </c>
      <c r="S9" s="2" t="s">
        <v>52</v>
      </c>
      <c r="T9" s="2" t="s">
        <v>58</v>
      </c>
      <c r="U9" s="2" t="s">
        <v>35</v>
      </c>
      <c r="V9" s="0" t="n">
        <v>0</v>
      </c>
      <c r="W9" s="2" t="n">
        <f aca="false">ROUND(M9*3.5%,0)</f>
        <v>2835</v>
      </c>
      <c r="X9" s="2" t="n">
        <f aca="false">M9-V9-W9</f>
        <v>78165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63</v>
      </c>
      <c r="D10" s="0" t="s">
        <v>64</v>
      </c>
      <c r="E10" s="0" t="s">
        <v>28</v>
      </c>
      <c r="F10" s="0" t="s">
        <v>29</v>
      </c>
      <c r="G10" s="0" t="s">
        <v>38</v>
      </c>
      <c r="H10" s="0" t="s">
        <v>31</v>
      </c>
      <c r="I10" s="3" t="n">
        <v>46323</v>
      </c>
      <c r="J10" s="4" t="n">
        <v>46361</v>
      </c>
      <c r="K10" s="0" t="n">
        <v>112900</v>
      </c>
      <c r="L10" s="0" t="n">
        <v>11300</v>
      </c>
      <c r="M10" s="2" t="n">
        <f aca="false">K10-L10</f>
        <v>101600</v>
      </c>
      <c r="N10" s="0" t="n">
        <v>24</v>
      </c>
      <c r="O10" s="0" t="n">
        <v>20.4</v>
      </c>
      <c r="P10" s="2" t="n">
        <f aca="false">Q10*N10-M10</f>
        <v>22984</v>
      </c>
      <c r="Q10" s="2" t="n">
        <f aca="false">ROUND(PMT(O10/1200,N10,-M10),0)</f>
        <v>5191</v>
      </c>
      <c r="R10" s="2" t="s">
        <v>39</v>
      </c>
      <c r="S10" s="2" t="s">
        <v>40</v>
      </c>
      <c r="T10" s="2" t="s">
        <v>65</v>
      </c>
      <c r="U10" s="2" t="s">
        <v>42</v>
      </c>
      <c r="V10" s="0" t="n">
        <v>450</v>
      </c>
      <c r="W10" s="2" t="n">
        <f aca="false">ROUND(M10*3.5%,0)</f>
        <v>3556</v>
      </c>
      <c r="X10" s="2" t="n">
        <f aca="false">M10-V10-W10</f>
        <v>97594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66</v>
      </c>
      <c r="D11" s="0" t="s">
        <v>67</v>
      </c>
      <c r="E11" s="0" t="s">
        <v>28</v>
      </c>
      <c r="F11" s="0" t="s">
        <v>29</v>
      </c>
      <c r="G11" s="0" t="s">
        <v>50</v>
      </c>
      <c r="H11" s="0" t="s">
        <v>31</v>
      </c>
      <c r="I11" s="3" t="n">
        <v>46323</v>
      </c>
      <c r="J11" s="4" t="n">
        <v>46361</v>
      </c>
      <c r="K11" s="0" t="n">
        <v>93600</v>
      </c>
      <c r="L11" s="0" t="n">
        <v>9400</v>
      </c>
      <c r="M11" s="2" t="n">
        <f aca="false">K11-L11</f>
        <v>84200</v>
      </c>
      <c r="N11" s="0" t="n">
        <v>36</v>
      </c>
      <c r="O11" s="0" t="n">
        <v>23.5</v>
      </c>
      <c r="P11" s="2" t="n">
        <f aca="false">Q11*N11-M11</f>
        <v>33916</v>
      </c>
      <c r="Q11" s="2" t="n">
        <f aca="false">ROUND(PMT(O11/1200,N11,-M11),0)</f>
        <v>3281</v>
      </c>
      <c r="R11" s="2" t="s">
        <v>51</v>
      </c>
      <c r="S11" s="2" t="s">
        <v>52</v>
      </c>
      <c r="T11" s="2" t="s">
        <v>68</v>
      </c>
      <c r="U11" s="2" t="s">
        <v>42</v>
      </c>
      <c r="V11" s="0" t="n">
        <v>520</v>
      </c>
      <c r="W11" s="2" t="n">
        <f aca="false">ROUND(M11*3.5%,0)</f>
        <v>2947</v>
      </c>
      <c r="X11" s="2" t="n">
        <f aca="false">M11-V11-W11</f>
        <v>80733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75</v>
      </c>
      <c r="K1" s="5" t="s">
        <v>76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77</v>
      </c>
      <c r="D2" s="6" t="s">
        <v>78</v>
      </c>
      <c r="E2" s="6" t="s">
        <v>79</v>
      </c>
      <c r="F2" s="6"/>
      <c r="G2" s="6"/>
      <c r="H2" s="6" t="n">
        <v>1000</v>
      </c>
      <c r="I2" s="6" t="s">
        <v>80</v>
      </c>
      <c r="J2" s="6" t="s">
        <v>81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77</v>
      </c>
      <c r="D3" s="6" t="s">
        <v>78</v>
      </c>
      <c r="E3" s="6" t="s">
        <v>82</v>
      </c>
      <c r="F3" s="6"/>
      <c r="G3" s="6"/>
      <c r="H3" s="6" t="n">
        <v>1000</v>
      </c>
      <c r="I3" s="6" t="s">
        <v>80</v>
      </c>
      <c r="J3" s="6" t="s">
        <v>81</v>
      </c>
      <c r="K3" s="6" t="n">
        <v>2</v>
      </c>
    </row>
    <row r="4" customFormat="false" ht="15" hidden="false" customHeight="false" outlineLevel="0" collapsed="false">
      <c r="A4" s="6" t="s">
        <v>43</v>
      </c>
      <c r="B4" s="6" t="s">
        <v>25</v>
      </c>
      <c r="C4" s="6" t="s">
        <v>77</v>
      </c>
      <c r="D4" s="6" t="s">
        <v>78</v>
      </c>
      <c r="E4" s="6" t="s">
        <v>83</v>
      </c>
      <c r="F4" s="6"/>
      <c r="G4" s="6"/>
      <c r="H4" s="6" t="n">
        <v>1000</v>
      </c>
      <c r="I4" s="6" t="s">
        <v>80</v>
      </c>
      <c r="J4" s="6" t="s">
        <v>81</v>
      </c>
      <c r="K4" s="6" t="n">
        <v>3</v>
      </c>
    </row>
    <row r="5" customFormat="false" ht="15" hidden="false" customHeight="false" outlineLevel="0" collapsed="false">
      <c r="A5" s="6" t="s">
        <v>46</v>
      </c>
      <c r="B5" s="6" t="s">
        <v>25</v>
      </c>
      <c r="C5" s="6" t="s">
        <v>77</v>
      </c>
      <c r="D5" s="6" t="s">
        <v>78</v>
      </c>
      <c r="E5" s="6" t="s">
        <v>84</v>
      </c>
      <c r="F5" s="6"/>
      <c r="G5" s="6"/>
      <c r="H5" s="6" t="n">
        <v>1000</v>
      </c>
      <c r="I5" s="6" t="s">
        <v>80</v>
      </c>
      <c r="J5" s="6" t="s">
        <v>81</v>
      </c>
      <c r="K5" s="6" t="n">
        <v>4</v>
      </c>
    </row>
    <row r="6" customFormat="false" ht="15" hidden="false" customHeight="false" outlineLevel="0" collapsed="false">
      <c r="A6" s="6" t="s">
        <v>48</v>
      </c>
      <c r="B6" s="6" t="s">
        <v>25</v>
      </c>
      <c r="C6" s="6" t="s">
        <v>77</v>
      </c>
      <c r="D6" s="6" t="s">
        <v>78</v>
      </c>
      <c r="E6" s="6" t="s">
        <v>85</v>
      </c>
      <c r="F6" s="6"/>
      <c r="G6" s="6"/>
      <c r="H6" s="6" t="n">
        <v>1000</v>
      </c>
      <c r="I6" s="6" t="s">
        <v>80</v>
      </c>
      <c r="J6" s="6" t="s">
        <v>81</v>
      </c>
      <c r="K6" s="6" t="n">
        <v>5</v>
      </c>
    </row>
    <row r="7" customFormat="false" ht="15" hidden="false" customHeight="false" outlineLevel="0" collapsed="false">
      <c r="A7" s="6" t="s">
        <v>53</v>
      </c>
      <c r="B7" s="6" t="s">
        <v>25</v>
      </c>
      <c r="C7" s="6" t="s">
        <v>77</v>
      </c>
      <c r="D7" s="6" t="s">
        <v>78</v>
      </c>
      <c r="E7" s="6" t="s">
        <v>86</v>
      </c>
      <c r="F7" s="6"/>
      <c r="G7" s="6"/>
      <c r="H7" s="6" t="n">
        <v>1000</v>
      </c>
      <c r="I7" s="6" t="s">
        <v>80</v>
      </c>
      <c r="J7" s="6" t="s">
        <v>81</v>
      </c>
      <c r="K7" s="6" t="n">
        <v>6</v>
      </c>
    </row>
    <row r="8" customFormat="false" ht="15" hidden="false" customHeight="false" outlineLevel="0" collapsed="false">
      <c r="A8" s="6" t="s">
        <v>59</v>
      </c>
      <c r="B8" s="6" t="s">
        <v>25</v>
      </c>
      <c r="C8" s="6" t="s">
        <v>77</v>
      </c>
      <c r="D8" s="6" t="s">
        <v>78</v>
      </c>
      <c r="E8" s="6" t="s">
        <v>87</v>
      </c>
      <c r="F8" s="6"/>
      <c r="G8" s="6"/>
      <c r="H8" s="6" t="n">
        <v>1000</v>
      </c>
      <c r="I8" s="6" t="s">
        <v>80</v>
      </c>
      <c r="J8" s="6" t="s">
        <v>81</v>
      </c>
      <c r="K8" s="6" t="n">
        <v>7</v>
      </c>
    </row>
    <row r="9" customFormat="false" ht="15" hidden="false" customHeight="false" outlineLevel="0" collapsed="false">
      <c r="A9" s="6" t="s">
        <v>61</v>
      </c>
      <c r="B9" s="6" t="s">
        <v>25</v>
      </c>
      <c r="C9" s="6" t="s">
        <v>77</v>
      </c>
      <c r="D9" s="6" t="s">
        <v>78</v>
      </c>
      <c r="E9" s="6" t="s">
        <v>88</v>
      </c>
      <c r="F9" s="6"/>
      <c r="G9" s="6"/>
      <c r="H9" s="6" t="n">
        <v>1000</v>
      </c>
      <c r="I9" s="6" t="s">
        <v>80</v>
      </c>
      <c r="J9" s="6" t="s">
        <v>81</v>
      </c>
      <c r="K9" s="6" t="n">
        <v>8</v>
      </c>
    </row>
    <row r="10" customFormat="false" ht="15" hidden="false" customHeight="false" outlineLevel="0" collapsed="false">
      <c r="A10" s="6" t="s">
        <v>63</v>
      </c>
      <c r="B10" s="6" t="s">
        <v>25</v>
      </c>
      <c r="C10" s="6" t="s">
        <v>77</v>
      </c>
      <c r="D10" s="6" t="s">
        <v>78</v>
      </c>
      <c r="E10" s="6" t="s">
        <v>89</v>
      </c>
      <c r="F10" s="6"/>
      <c r="G10" s="6"/>
      <c r="H10" s="6" t="n">
        <v>1000</v>
      </c>
      <c r="I10" s="6" t="s">
        <v>80</v>
      </c>
      <c r="J10" s="6" t="s">
        <v>81</v>
      </c>
      <c r="K10" s="6" t="n">
        <v>9</v>
      </c>
    </row>
    <row r="11" customFormat="false" ht="15" hidden="false" customHeight="false" outlineLevel="0" collapsed="false">
      <c r="A11" s="6" t="s">
        <v>66</v>
      </c>
      <c r="B11" s="6" t="s">
        <v>25</v>
      </c>
      <c r="C11" s="6" t="s">
        <v>77</v>
      </c>
      <c r="D11" s="6" t="s">
        <v>78</v>
      </c>
      <c r="E11" s="6" t="s">
        <v>90</v>
      </c>
      <c r="F11" s="6"/>
      <c r="G11" s="6"/>
      <c r="H11" s="6" t="n">
        <v>1000</v>
      </c>
      <c r="I11" s="6" t="s">
        <v>80</v>
      </c>
      <c r="J11" s="6" t="s">
        <v>81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